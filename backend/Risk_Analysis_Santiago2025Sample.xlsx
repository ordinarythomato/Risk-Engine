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thomas/Downloads/Risk Engine Project/"/>
    </mc:Choice>
  </mc:AlternateContent>
  <xr:revisionPtr revIDLastSave="0" documentId="8_{2C70BD62-496C-CA42-8065-0ACAFA79877B}" xr6:coauthVersionLast="47" xr6:coauthVersionMax="47" xr10:uidLastSave="{00000000-0000-0000-0000-000000000000}"/>
  <bookViews>
    <workbookView xWindow="0" yWindow="500" windowWidth="22700" windowHeight="14520" tabRatio="500" xr2:uid="{00000000-000D-0000-FFFF-FFFF00000000}"/>
  </bookViews>
  <sheets>
    <sheet name="Accident_Data" sheetId="1" r:id="rId1"/>
    <sheet name="Summary" sheetId="2" r:id="rId2"/>
    <sheet name="Categorie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0" i="2" l="1"/>
  <c r="B9" i="2"/>
  <c r="B8" i="2"/>
  <c r="B7" i="2"/>
  <c r="B6" i="2"/>
  <c r="B5" i="2"/>
  <c r="B4" i="2"/>
  <c r="B3" i="2"/>
</calcChain>
</file>

<file path=xl/sharedStrings.xml><?xml version="1.0" encoding="utf-8"?>
<sst xmlns="http://schemas.openxmlformats.org/spreadsheetml/2006/main" count="275" uniqueCount="152">
  <si>
    <t>id_event</t>
  </si>
  <si>
    <t>cost_usd</t>
  </si>
  <si>
    <t>date</t>
  </si>
  <si>
    <t>category</t>
  </si>
  <si>
    <t>location</t>
  </si>
  <si>
    <t>temperature_celsius</t>
  </si>
  <si>
    <t>waiting_time_min</t>
  </si>
  <si>
    <t>severity_level</t>
  </si>
  <si>
    <t>notes</t>
  </si>
  <si>
    <t>21/01/25</t>
  </si>
  <si>
    <t>Motorbike Accident</t>
  </si>
  <si>
    <t>Puente Alto</t>
  </si>
  <si>
    <t>895285932</t>
  </si>
  <si>
    <t>07/10/25</t>
  </si>
  <si>
    <t>Ñuñoa</t>
  </si>
  <si>
    <t>Falla mecánica reportada</t>
  </si>
  <si>
    <t>313500298</t>
  </si>
  <si>
    <t>29/11/25</t>
  </si>
  <si>
    <t>Pedestrian Involved</t>
  </si>
  <si>
    <t>San Bernardo</t>
  </si>
  <si>
    <t>965241839</t>
  </si>
  <si>
    <t>23/03/25</t>
  </si>
  <si>
    <t>Lluvia al momento del accidente</t>
  </si>
  <si>
    <t>507943839</t>
  </si>
  <si>
    <t>19/02/25</t>
  </si>
  <si>
    <t>La Florida</t>
  </si>
  <si>
    <t>Accidente nocturno</t>
  </si>
  <si>
    <t>184611066</t>
  </si>
  <si>
    <t>10/10/25</t>
  </si>
  <si>
    <t>349957310</t>
  </si>
  <si>
    <t>21/02/25</t>
  </si>
  <si>
    <t>Car Accident</t>
  </si>
  <si>
    <t>Colisión en cruce sin señalética</t>
  </si>
  <si>
    <t>819595113</t>
  </si>
  <si>
    <t>17/05/25</t>
  </si>
  <si>
    <t>Providencia</t>
  </si>
  <si>
    <t>Conductor bajo efectos del alcohol</t>
  </si>
  <si>
    <t>507437181</t>
  </si>
  <si>
    <t>19/05/25</t>
  </si>
  <si>
    <t>Conductor sin casco</t>
  </si>
  <si>
    <t>964411347</t>
  </si>
  <si>
    <t>11/06/25</t>
  </si>
  <si>
    <t>803771909</t>
  </si>
  <si>
    <t>13/09/25</t>
  </si>
  <si>
    <t>Vitacura</t>
  </si>
  <si>
    <t>727694430</t>
  </si>
  <si>
    <t>08/08/25</t>
  </si>
  <si>
    <t>Truck Accident</t>
  </si>
  <si>
    <t>217734861</t>
  </si>
  <si>
    <t>20/03/25</t>
  </si>
  <si>
    <t>Las Condes</t>
  </si>
  <si>
    <t>Semáforo en mal estado</t>
  </si>
  <si>
    <t>602564736</t>
  </si>
  <si>
    <t>28/09/25</t>
  </si>
  <si>
    <t>788227492</t>
  </si>
  <si>
    <t>24/06/25</t>
  </si>
  <si>
    <t>918150683</t>
  </si>
  <si>
    <t>02/04/25</t>
  </si>
  <si>
    <t>Pavimento en mal estado</t>
  </si>
  <si>
    <t>501486939</t>
  </si>
  <si>
    <t>24/03/25</t>
  </si>
  <si>
    <t>Exceso de velocidad registrado</t>
  </si>
  <si>
    <t>992994062</t>
  </si>
  <si>
    <t>07/06/25</t>
  </si>
  <si>
    <t>Santiago Centro</t>
  </si>
  <si>
    <t>916690353</t>
  </si>
  <si>
    <t>30/09/25</t>
  </si>
  <si>
    <t>Multi-vehicle</t>
  </si>
  <si>
    <t>679064766</t>
  </si>
  <si>
    <t>20/12/25</t>
  </si>
  <si>
    <t>366186631</t>
  </si>
  <si>
    <t>26/04/25</t>
  </si>
  <si>
    <t>860038427</t>
  </si>
  <si>
    <t>20/11/25</t>
  </si>
  <si>
    <t>Maipú</t>
  </si>
  <si>
    <t>Motociclista con licencia vencida</t>
  </si>
  <si>
    <t>818309417</t>
  </si>
  <si>
    <t>06/09/25</t>
  </si>
  <si>
    <t>537077308</t>
  </si>
  <si>
    <t>08/04/25</t>
  </si>
  <si>
    <t>801642483</t>
  </si>
  <si>
    <t>27/11/25</t>
  </si>
  <si>
    <t>675832441</t>
  </si>
  <si>
    <t>18/08/25</t>
  </si>
  <si>
    <t>690907304</t>
  </si>
  <si>
    <t>20/02/25</t>
  </si>
  <si>
    <t>621453189</t>
  </si>
  <si>
    <t>04/09/25</t>
  </si>
  <si>
    <t>943026227</t>
  </si>
  <si>
    <t>21/08/25</t>
  </si>
  <si>
    <t>303901283</t>
  </si>
  <si>
    <t>01/06/25</t>
  </si>
  <si>
    <t>727255918</t>
  </si>
  <si>
    <t>02/09/25</t>
  </si>
  <si>
    <t>172972420</t>
  </si>
  <si>
    <t>12/12/25</t>
  </si>
  <si>
    <t>188029013</t>
  </si>
  <si>
    <t>03/08/25</t>
  </si>
  <si>
    <t>524971817</t>
  </si>
  <si>
    <t>09/03/25</t>
  </si>
  <si>
    <t>677280546</t>
  </si>
  <si>
    <t>20/04/25</t>
  </si>
  <si>
    <t>269379374</t>
  </si>
  <si>
    <t>13/08/25</t>
  </si>
  <si>
    <t>977358886</t>
  </si>
  <si>
    <t>11/10/25</t>
  </si>
  <si>
    <t>402533494</t>
  </si>
  <si>
    <t>06/11/25</t>
  </si>
  <si>
    <t>199104722</t>
  </si>
  <si>
    <t>21/11/25</t>
  </si>
  <si>
    <t>895890631</t>
  </si>
  <si>
    <t>15/08/25</t>
  </si>
  <si>
    <t>138684919</t>
  </si>
  <si>
    <t>09/07/25</t>
  </si>
  <si>
    <t>142836793</t>
  </si>
  <si>
    <t>03/07/25</t>
  </si>
  <si>
    <t>904745462</t>
  </si>
  <si>
    <t>21/03/25</t>
  </si>
  <si>
    <t>890880074</t>
  </si>
  <si>
    <t>20/06/25</t>
  </si>
  <si>
    <t>852991721</t>
  </si>
  <si>
    <t>25/02/25</t>
  </si>
  <si>
    <t>981044229</t>
  </si>
  <si>
    <t>27/04/25</t>
  </si>
  <si>
    <t>788785773</t>
  </si>
  <si>
    <t>18/09/25</t>
  </si>
  <si>
    <t>385042337</t>
  </si>
  <si>
    <t>20/01/25</t>
  </si>
  <si>
    <t>719106699</t>
  </si>
  <si>
    <t>563102056</t>
  </si>
  <si>
    <t>05/02/25</t>
  </si>
  <si>
    <t>432091877</t>
  </si>
  <si>
    <t>08/12/25</t>
  </si>
  <si>
    <t>Risk Analysis Summary</t>
  </si>
  <si>
    <t>Metric</t>
  </si>
  <si>
    <t>Value</t>
  </si>
  <si>
    <t>Total Accidents</t>
  </si>
  <si>
    <t>Total Cost (USD)</t>
  </si>
  <si>
    <t>Average Cost (USD)</t>
  </si>
  <si>
    <t>Max Cost (USD)</t>
  </si>
  <si>
    <t>Min Cost (USD)</t>
  </si>
  <si>
    <t>95th Percentile Cost (USD)</t>
  </si>
  <si>
    <t>Avg Temperature (°C)</t>
  </si>
  <si>
    <t>Avg Waiting Time (min)</t>
  </si>
  <si>
    <t>Valid Categories</t>
  </si>
  <si>
    <t>Severity Levels</t>
  </si>
  <si>
    <t>1 - Minor</t>
  </si>
  <si>
    <t>2 - Moderate</t>
  </si>
  <si>
    <t>3 - Serious</t>
  </si>
  <si>
    <t>4 - Critical</t>
  </si>
  <si>
    <t>5 - Fatal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</si>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</sst>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  <charset val="1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4"/>
      <color rgb="FF1F4E79"/>
      <name val="Arial"/>
      <family val="2"/>
      <charset val="1"/>
    </font>
    <font>
      <b/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2"/>
      <color rgb="FF1F4E79"/>
      <name val="Arial"/>
      <family val="2"/>
      <charset val="1"/>
    </font>
    <font>
      <sz val="1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5FAFF"/>
      </patternFill>
    </fill>
    <fill>
      <patternFill patternType="solid">
        <fgColor rgb="FFF5FAFF"/>
        <bgColor rgb="FFFFFFFF"/>
      </patternFill>
    </fill>
    <fill>
      <patternFill patternType="solid">
        <fgColor rgb="FFD6E4F0"/>
        <bgColor rgb="FFEBF3FB"/>
      </patternFill>
    </fill>
    <fill>
      <patternFill patternType="solid">
        <fgColor rgb="FFFFFFFF"/>
        <bgColor rgb="FFF5FAFF"/>
      </patternFill>
    </fill>
  </fills>
  <borders count="2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4" fontId="3" fillId="3" borderId="1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4" fontId="3" fillId="4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right" vertical="center"/>
    </xf>
    <xf numFmtId="0" fontId="7" fillId="0" borderId="0" xfId="0" applyFont="1"/>
    <xf numFmtId="0" fontId="7" fillId="6" borderId="1" xfId="0" applyFont="1" applyFill="1" applyBorder="1"/>
    <xf numFmtId="0" fontId="8" fillId="3" borderId="1" xfId="0" applyFont="1" applyFill="1" applyBorder="1"/>
    <xf numFmtId="0" fontId="8" fillId="6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C4DE"/>
      <rgbColor rgb="FF808080"/>
      <rgbColor rgb="FF9999FF"/>
      <rgbColor rgb="FF993366"/>
      <rgbColor rgb="FFF5FAFF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"/>
  <sheetViews>
    <sheetView tabSelected="1" zoomScaleNormal="100" workbookViewId="0">
      <pane ySplit="1" topLeftCell="A2" activePane="bottomLeft" state="frozen"/>
      <selection pane="bottomLeft" activeCell="E56" sqref="E56"/>
    </sheetView>
  </sheetViews>
  <sheetFormatPr baseColWidth="10" defaultColWidth="8.83203125" defaultRowHeight="15" x14ac:dyDescent="0.2"/>
  <cols>
    <col min="1" max="1" width="15" customWidth="1"/>
    <col min="2" max="2" width="14" customWidth="1"/>
    <col min="3" max="3" width="13" customWidth="1"/>
    <col min="4" max="4" width="22" customWidth="1"/>
    <col min="5" max="6" width="20" customWidth="1"/>
    <col min="7" max="7" width="18" customWidth="1"/>
    <col min="8" max="8" width="16" customWidth="1"/>
    <col min="9" max="9" width="30" customWidth="1"/>
  </cols>
  <sheetData>
    <row r="1" spans="1:9" ht="30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">
      <c r="A2" s="3">
        <v>111111111</v>
      </c>
      <c r="B2" s="4">
        <v>1100.5899999999999</v>
      </c>
      <c r="C2" s="3" t="s">
        <v>9</v>
      </c>
      <c r="D2" s="3" t="s">
        <v>10</v>
      </c>
      <c r="E2" s="3" t="s">
        <v>11</v>
      </c>
      <c r="F2" s="3">
        <v>16.100000000000001</v>
      </c>
      <c r="G2" s="3">
        <v>22</v>
      </c>
      <c r="H2" s="3">
        <v>1</v>
      </c>
      <c r="I2" s="3"/>
    </row>
    <row r="3" spans="1:9" x14ac:dyDescent="0.2">
      <c r="A3" s="5" t="s">
        <v>12</v>
      </c>
      <c r="B3" s="6">
        <v>1109.6400000000001</v>
      </c>
      <c r="C3" s="5" t="s">
        <v>13</v>
      </c>
      <c r="D3" s="5" t="s">
        <v>10</v>
      </c>
      <c r="E3" s="5" t="s">
        <v>14</v>
      </c>
      <c r="F3" s="5">
        <v>9</v>
      </c>
      <c r="G3" s="5">
        <v>14</v>
      </c>
      <c r="H3" s="5">
        <v>1</v>
      </c>
      <c r="I3" s="5" t="s">
        <v>15</v>
      </c>
    </row>
    <row r="4" spans="1:9" x14ac:dyDescent="0.2">
      <c r="A4" s="3" t="s">
        <v>16</v>
      </c>
      <c r="B4" s="4">
        <v>1656.97</v>
      </c>
      <c r="C4" s="3" t="s">
        <v>17</v>
      </c>
      <c r="D4" s="3" t="s">
        <v>18</v>
      </c>
      <c r="E4" s="3" t="s">
        <v>19</v>
      </c>
      <c r="F4" s="3">
        <v>20.6</v>
      </c>
      <c r="G4" s="3">
        <v>60</v>
      </c>
      <c r="H4" s="3">
        <v>1</v>
      </c>
      <c r="I4" s="3"/>
    </row>
    <row r="5" spans="1:9" x14ac:dyDescent="0.2">
      <c r="A5" s="5" t="s">
        <v>20</v>
      </c>
      <c r="B5" s="6">
        <v>1574.29</v>
      </c>
      <c r="C5" s="5" t="s">
        <v>21</v>
      </c>
      <c r="D5" s="5" t="s">
        <v>18</v>
      </c>
      <c r="E5" s="5" t="s">
        <v>14</v>
      </c>
      <c r="F5" s="5">
        <v>18.2</v>
      </c>
      <c r="G5" s="5">
        <v>22</v>
      </c>
      <c r="H5" s="5">
        <v>1</v>
      </c>
      <c r="I5" s="5" t="s">
        <v>22</v>
      </c>
    </row>
    <row r="6" spans="1:9" x14ac:dyDescent="0.2">
      <c r="A6" s="3" t="s">
        <v>23</v>
      </c>
      <c r="B6" s="4">
        <v>1026.96</v>
      </c>
      <c r="C6" s="3" t="s">
        <v>24</v>
      </c>
      <c r="D6" s="3" t="s">
        <v>10</v>
      </c>
      <c r="E6" s="3" t="s">
        <v>25</v>
      </c>
      <c r="F6" s="3">
        <v>26.1</v>
      </c>
      <c r="G6" s="3">
        <v>106</v>
      </c>
      <c r="H6" s="3">
        <v>1</v>
      </c>
      <c r="I6" s="3" t="s">
        <v>26</v>
      </c>
    </row>
    <row r="7" spans="1:9" x14ac:dyDescent="0.2">
      <c r="A7" s="5" t="s">
        <v>27</v>
      </c>
      <c r="B7" s="6">
        <v>1390.27</v>
      </c>
      <c r="C7" s="5" t="s">
        <v>28</v>
      </c>
      <c r="D7" s="5" t="s">
        <v>10</v>
      </c>
      <c r="E7" s="5" t="s">
        <v>25</v>
      </c>
      <c r="F7" s="5">
        <v>25.3</v>
      </c>
      <c r="G7" s="5">
        <v>93</v>
      </c>
      <c r="H7" s="5">
        <v>2</v>
      </c>
      <c r="I7" s="5" t="s">
        <v>22</v>
      </c>
    </row>
    <row r="8" spans="1:9" x14ac:dyDescent="0.2">
      <c r="A8" s="3" t="s">
        <v>29</v>
      </c>
      <c r="B8" s="4">
        <v>866.33</v>
      </c>
      <c r="C8" s="3" t="s">
        <v>30</v>
      </c>
      <c r="D8" s="3" t="s">
        <v>31</v>
      </c>
      <c r="E8" s="3" t="s">
        <v>11</v>
      </c>
      <c r="F8" s="3">
        <v>21.6</v>
      </c>
      <c r="G8" s="3">
        <v>109</v>
      </c>
      <c r="H8" s="3">
        <v>1</v>
      </c>
      <c r="I8" s="3" t="s">
        <v>32</v>
      </c>
    </row>
    <row r="9" spans="1:9" x14ac:dyDescent="0.2">
      <c r="A9" s="5" t="s">
        <v>33</v>
      </c>
      <c r="B9" s="6">
        <v>640.66</v>
      </c>
      <c r="C9" s="5" t="s">
        <v>34</v>
      </c>
      <c r="D9" s="5" t="s">
        <v>18</v>
      </c>
      <c r="E9" s="5" t="s">
        <v>35</v>
      </c>
      <c r="F9" s="5">
        <v>26.3</v>
      </c>
      <c r="G9" s="5">
        <v>24</v>
      </c>
      <c r="H9" s="5">
        <v>1</v>
      </c>
      <c r="I9" s="5" t="s">
        <v>36</v>
      </c>
    </row>
    <row r="10" spans="1:9" x14ac:dyDescent="0.2">
      <c r="A10" s="3" t="s">
        <v>37</v>
      </c>
      <c r="B10" s="4">
        <v>12088</v>
      </c>
      <c r="C10" s="3" t="s">
        <v>38</v>
      </c>
      <c r="D10" s="3" t="s">
        <v>18</v>
      </c>
      <c r="E10" s="3" t="s">
        <v>19</v>
      </c>
      <c r="F10" s="3">
        <v>14.6</v>
      </c>
      <c r="G10" s="3">
        <v>44</v>
      </c>
      <c r="H10" s="3">
        <v>2</v>
      </c>
      <c r="I10" s="3" t="s">
        <v>39</v>
      </c>
    </row>
    <row r="11" spans="1:9" x14ac:dyDescent="0.2">
      <c r="A11" s="5" t="s">
        <v>40</v>
      </c>
      <c r="B11" s="6">
        <v>71963.899999999994</v>
      </c>
      <c r="C11" s="5" t="s">
        <v>41</v>
      </c>
      <c r="D11" s="5" t="s">
        <v>31</v>
      </c>
      <c r="E11" s="5" t="s">
        <v>11</v>
      </c>
      <c r="F11" s="5">
        <v>10</v>
      </c>
      <c r="G11" s="5">
        <v>119</v>
      </c>
      <c r="H11" s="5">
        <v>5</v>
      </c>
      <c r="I11" s="5" t="s">
        <v>32</v>
      </c>
    </row>
    <row r="12" spans="1:9" x14ac:dyDescent="0.2">
      <c r="A12" s="3" t="s">
        <v>42</v>
      </c>
      <c r="B12" s="4">
        <v>1210.46</v>
      </c>
      <c r="C12" s="3" t="s">
        <v>43</v>
      </c>
      <c r="D12" s="3" t="s">
        <v>31</v>
      </c>
      <c r="E12" s="3" t="s">
        <v>44</v>
      </c>
      <c r="F12" s="3">
        <v>12.3</v>
      </c>
      <c r="G12" s="3">
        <v>20</v>
      </c>
      <c r="H12" s="3">
        <v>2</v>
      </c>
      <c r="I12" s="3"/>
    </row>
    <row r="13" spans="1:9" x14ac:dyDescent="0.2">
      <c r="A13" s="5" t="s">
        <v>45</v>
      </c>
      <c r="B13" s="6">
        <v>363.64</v>
      </c>
      <c r="C13" s="5" t="s">
        <v>46</v>
      </c>
      <c r="D13" s="5" t="s">
        <v>47</v>
      </c>
      <c r="E13" s="5" t="s">
        <v>14</v>
      </c>
      <c r="F13" s="5">
        <v>18.899999999999999</v>
      </c>
      <c r="G13" s="5">
        <v>20</v>
      </c>
      <c r="H13" s="5">
        <v>1</v>
      </c>
      <c r="I13" s="5" t="s">
        <v>39</v>
      </c>
    </row>
    <row r="14" spans="1:9" x14ac:dyDescent="0.2">
      <c r="A14" s="3" t="s">
        <v>48</v>
      </c>
      <c r="B14" s="4">
        <v>892.58</v>
      </c>
      <c r="C14" s="3" t="s">
        <v>49</v>
      </c>
      <c r="D14" s="3" t="s">
        <v>18</v>
      </c>
      <c r="E14" s="3" t="s">
        <v>50</v>
      </c>
      <c r="F14" s="3">
        <v>31.8</v>
      </c>
      <c r="G14" s="3">
        <v>57</v>
      </c>
      <c r="H14" s="3">
        <v>1</v>
      </c>
      <c r="I14" s="3" t="s">
        <v>51</v>
      </c>
    </row>
    <row r="15" spans="1:9" x14ac:dyDescent="0.2">
      <c r="A15" s="5" t="s">
        <v>52</v>
      </c>
      <c r="B15" s="6">
        <v>3489.17</v>
      </c>
      <c r="C15" s="5" t="s">
        <v>53</v>
      </c>
      <c r="D15" s="5" t="s">
        <v>10</v>
      </c>
      <c r="E15" s="5" t="s">
        <v>19</v>
      </c>
      <c r="F15" s="5">
        <v>33.799999999999997</v>
      </c>
      <c r="G15" s="5">
        <v>4</v>
      </c>
      <c r="H15" s="5">
        <v>2</v>
      </c>
      <c r="I15" s="5"/>
    </row>
    <row r="16" spans="1:9" x14ac:dyDescent="0.2">
      <c r="A16" s="3" t="s">
        <v>54</v>
      </c>
      <c r="B16" s="4">
        <v>1499.77</v>
      </c>
      <c r="C16" s="3" t="s">
        <v>55</v>
      </c>
      <c r="D16" s="3" t="s">
        <v>10</v>
      </c>
      <c r="E16" s="3" t="s">
        <v>11</v>
      </c>
      <c r="F16" s="3">
        <v>21</v>
      </c>
      <c r="G16" s="3">
        <v>61</v>
      </c>
      <c r="H16" s="3">
        <v>2</v>
      </c>
      <c r="I16" s="3" t="s">
        <v>15</v>
      </c>
    </row>
    <row r="17" spans="1:9" x14ac:dyDescent="0.2">
      <c r="A17" s="5" t="s">
        <v>56</v>
      </c>
      <c r="B17" s="6">
        <v>8599.6200000000008</v>
      </c>
      <c r="C17" s="5" t="s">
        <v>57</v>
      </c>
      <c r="D17" s="5" t="s">
        <v>47</v>
      </c>
      <c r="E17" s="5" t="s">
        <v>35</v>
      </c>
      <c r="F17" s="5">
        <v>34.1</v>
      </c>
      <c r="G17" s="5">
        <v>41</v>
      </c>
      <c r="H17" s="5">
        <v>2</v>
      </c>
      <c r="I17" s="5" t="s">
        <v>58</v>
      </c>
    </row>
    <row r="18" spans="1:9" x14ac:dyDescent="0.2">
      <c r="A18" s="3" t="s">
        <v>59</v>
      </c>
      <c r="B18" s="4">
        <v>235.06</v>
      </c>
      <c r="C18" s="3" t="s">
        <v>60</v>
      </c>
      <c r="D18" s="3" t="s">
        <v>47</v>
      </c>
      <c r="E18" s="3" t="s">
        <v>19</v>
      </c>
      <c r="F18" s="3">
        <v>35.6</v>
      </c>
      <c r="G18" s="3">
        <v>79</v>
      </c>
      <c r="H18" s="3">
        <v>1</v>
      </c>
      <c r="I18" s="3" t="s">
        <v>61</v>
      </c>
    </row>
    <row r="19" spans="1:9" x14ac:dyDescent="0.2">
      <c r="A19" s="5" t="s">
        <v>62</v>
      </c>
      <c r="B19" s="6">
        <v>20567.47</v>
      </c>
      <c r="C19" s="5" t="s">
        <v>63</v>
      </c>
      <c r="D19" s="5" t="s">
        <v>10</v>
      </c>
      <c r="E19" s="5" t="s">
        <v>64</v>
      </c>
      <c r="F19" s="5">
        <v>15.2</v>
      </c>
      <c r="G19" s="5">
        <v>75</v>
      </c>
      <c r="H19" s="5">
        <v>4</v>
      </c>
      <c r="I19" s="5" t="s">
        <v>22</v>
      </c>
    </row>
    <row r="20" spans="1:9" x14ac:dyDescent="0.2">
      <c r="A20" s="3" t="s">
        <v>65</v>
      </c>
      <c r="B20" s="4">
        <v>25733.25</v>
      </c>
      <c r="C20" s="3" t="s">
        <v>66</v>
      </c>
      <c r="D20" s="3" t="s">
        <v>67</v>
      </c>
      <c r="E20" s="3" t="s">
        <v>50</v>
      </c>
      <c r="F20" s="3">
        <v>11.9</v>
      </c>
      <c r="G20" s="3">
        <v>63</v>
      </c>
      <c r="H20" s="3">
        <v>4</v>
      </c>
      <c r="I20" s="3" t="s">
        <v>32</v>
      </c>
    </row>
    <row r="21" spans="1:9" x14ac:dyDescent="0.2">
      <c r="A21" s="5" t="s">
        <v>68</v>
      </c>
      <c r="B21" s="6">
        <v>7695.3</v>
      </c>
      <c r="C21" s="5" t="s">
        <v>69</v>
      </c>
      <c r="D21" s="5" t="s">
        <v>10</v>
      </c>
      <c r="E21" s="5" t="s">
        <v>11</v>
      </c>
      <c r="F21" s="5">
        <v>20</v>
      </c>
      <c r="G21" s="5">
        <v>88</v>
      </c>
      <c r="H21" s="5">
        <v>3</v>
      </c>
      <c r="I21" s="5" t="s">
        <v>22</v>
      </c>
    </row>
    <row r="22" spans="1:9" x14ac:dyDescent="0.2">
      <c r="A22" s="3" t="s">
        <v>70</v>
      </c>
      <c r="B22" s="4">
        <v>596.39</v>
      </c>
      <c r="C22" s="3" t="s">
        <v>71</v>
      </c>
      <c r="D22" s="3" t="s">
        <v>10</v>
      </c>
      <c r="E22" s="3" t="s">
        <v>25</v>
      </c>
      <c r="F22" s="3">
        <v>8.6</v>
      </c>
      <c r="G22" s="3">
        <v>73</v>
      </c>
      <c r="H22" s="3">
        <v>1</v>
      </c>
      <c r="I22" s="3" t="s">
        <v>22</v>
      </c>
    </row>
    <row r="23" spans="1:9" x14ac:dyDescent="0.2">
      <c r="A23" s="5" t="s">
        <v>72</v>
      </c>
      <c r="B23" s="6">
        <v>2921.15</v>
      </c>
      <c r="C23" s="5" t="s">
        <v>73</v>
      </c>
      <c r="D23" s="5" t="s">
        <v>10</v>
      </c>
      <c r="E23" s="5" t="s">
        <v>74</v>
      </c>
      <c r="F23" s="5">
        <v>10</v>
      </c>
      <c r="G23" s="5">
        <v>7</v>
      </c>
      <c r="H23" s="5">
        <v>1</v>
      </c>
      <c r="I23" s="5" t="s">
        <v>75</v>
      </c>
    </row>
    <row r="24" spans="1:9" x14ac:dyDescent="0.2">
      <c r="A24" s="3" t="s">
        <v>76</v>
      </c>
      <c r="B24" s="4">
        <v>1050.81</v>
      </c>
      <c r="C24" s="3" t="s">
        <v>77</v>
      </c>
      <c r="D24" s="3" t="s">
        <v>10</v>
      </c>
      <c r="E24" s="3" t="s">
        <v>19</v>
      </c>
      <c r="F24" s="3">
        <v>12</v>
      </c>
      <c r="G24" s="3">
        <v>115</v>
      </c>
      <c r="H24" s="3">
        <v>2</v>
      </c>
      <c r="I24" s="3"/>
    </row>
    <row r="25" spans="1:9" x14ac:dyDescent="0.2">
      <c r="A25" s="5" t="s">
        <v>78</v>
      </c>
      <c r="B25" s="6">
        <v>1040.6400000000001</v>
      </c>
      <c r="C25" s="5" t="s">
        <v>79</v>
      </c>
      <c r="D25" s="5" t="s">
        <v>10</v>
      </c>
      <c r="E25" s="5" t="s">
        <v>35</v>
      </c>
      <c r="F25" s="5">
        <v>27.8</v>
      </c>
      <c r="G25" s="5">
        <v>48</v>
      </c>
      <c r="H25" s="5">
        <v>1</v>
      </c>
      <c r="I25" s="5"/>
    </row>
    <row r="26" spans="1:9" x14ac:dyDescent="0.2">
      <c r="A26" s="3" t="s">
        <v>80</v>
      </c>
      <c r="B26" s="4">
        <v>3420.5</v>
      </c>
      <c r="C26" s="3" t="s">
        <v>81</v>
      </c>
      <c r="D26" s="3" t="s">
        <v>10</v>
      </c>
      <c r="E26" s="3" t="s">
        <v>64</v>
      </c>
      <c r="F26" s="3">
        <v>20.100000000000001</v>
      </c>
      <c r="G26" s="3">
        <v>46</v>
      </c>
      <c r="H26" s="3">
        <v>1</v>
      </c>
      <c r="I26" s="3" t="s">
        <v>32</v>
      </c>
    </row>
    <row r="27" spans="1:9" x14ac:dyDescent="0.2">
      <c r="A27" s="5" t="s">
        <v>82</v>
      </c>
      <c r="B27" s="6">
        <v>1861.88</v>
      </c>
      <c r="C27" s="5" t="s">
        <v>83</v>
      </c>
      <c r="D27" s="5" t="s">
        <v>10</v>
      </c>
      <c r="E27" s="5" t="s">
        <v>14</v>
      </c>
      <c r="F27" s="5">
        <v>13.5</v>
      </c>
      <c r="G27" s="5">
        <v>62</v>
      </c>
      <c r="H27" s="5">
        <v>2</v>
      </c>
      <c r="I27" s="5"/>
    </row>
    <row r="28" spans="1:9" x14ac:dyDescent="0.2">
      <c r="A28" s="3" t="s">
        <v>84</v>
      </c>
      <c r="B28" s="4">
        <v>70165.22</v>
      </c>
      <c r="C28" s="3" t="s">
        <v>85</v>
      </c>
      <c r="D28" s="3" t="s">
        <v>10</v>
      </c>
      <c r="E28" s="3" t="s">
        <v>19</v>
      </c>
      <c r="F28" s="3">
        <v>33.1</v>
      </c>
      <c r="G28" s="3">
        <v>14</v>
      </c>
      <c r="H28" s="3">
        <v>4</v>
      </c>
      <c r="I28" s="3" t="s">
        <v>26</v>
      </c>
    </row>
    <row r="29" spans="1:9" x14ac:dyDescent="0.2">
      <c r="A29" s="5" t="s">
        <v>86</v>
      </c>
      <c r="B29" s="6">
        <v>1973.56</v>
      </c>
      <c r="C29" s="5" t="s">
        <v>87</v>
      </c>
      <c r="D29" s="5" t="s">
        <v>10</v>
      </c>
      <c r="E29" s="5" t="s">
        <v>14</v>
      </c>
      <c r="F29" s="5">
        <v>35.1</v>
      </c>
      <c r="G29" s="5">
        <v>24</v>
      </c>
      <c r="H29" s="5">
        <v>2</v>
      </c>
      <c r="I29" s="5"/>
    </row>
    <row r="30" spans="1:9" x14ac:dyDescent="0.2">
      <c r="A30" s="3" t="s">
        <v>88</v>
      </c>
      <c r="B30" s="4">
        <v>51124.94</v>
      </c>
      <c r="C30" s="3" t="s">
        <v>89</v>
      </c>
      <c r="D30" s="3" t="s">
        <v>10</v>
      </c>
      <c r="E30" s="3" t="s">
        <v>14</v>
      </c>
      <c r="F30" s="3">
        <v>28.9</v>
      </c>
      <c r="G30" s="3">
        <v>96</v>
      </c>
      <c r="H30" s="3">
        <v>5</v>
      </c>
      <c r="I30" s="3" t="s">
        <v>58</v>
      </c>
    </row>
    <row r="31" spans="1:9" x14ac:dyDescent="0.2">
      <c r="A31" s="5" t="s">
        <v>90</v>
      </c>
      <c r="B31" s="6">
        <v>764.49</v>
      </c>
      <c r="C31" s="5" t="s">
        <v>91</v>
      </c>
      <c r="D31" s="5" t="s">
        <v>10</v>
      </c>
      <c r="E31" s="5" t="s">
        <v>64</v>
      </c>
      <c r="F31" s="5">
        <v>25.4</v>
      </c>
      <c r="G31" s="5">
        <v>72</v>
      </c>
      <c r="H31" s="5">
        <v>1</v>
      </c>
      <c r="I31" s="5" t="s">
        <v>39</v>
      </c>
    </row>
    <row r="32" spans="1:9" x14ac:dyDescent="0.2">
      <c r="A32" s="3" t="s">
        <v>92</v>
      </c>
      <c r="B32" s="4">
        <v>534.48</v>
      </c>
      <c r="C32" s="3" t="s">
        <v>93</v>
      </c>
      <c r="D32" s="3" t="s">
        <v>47</v>
      </c>
      <c r="E32" s="3" t="s">
        <v>19</v>
      </c>
      <c r="F32" s="3">
        <v>12.7</v>
      </c>
      <c r="G32" s="3">
        <v>68</v>
      </c>
      <c r="H32" s="3">
        <v>1</v>
      </c>
      <c r="I32" s="3" t="s">
        <v>51</v>
      </c>
    </row>
    <row r="33" spans="1:9" x14ac:dyDescent="0.2">
      <c r="A33" s="5" t="s">
        <v>94</v>
      </c>
      <c r="B33" s="6">
        <v>1242.05</v>
      </c>
      <c r="C33" s="5" t="s">
        <v>95</v>
      </c>
      <c r="D33" s="5" t="s">
        <v>67</v>
      </c>
      <c r="E33" s="5" t="s">
        <v>74</v>
      </c>
      <c r="F33" s="5">
        <v>20.100000000000001</v>
      </c>
      <c r="G33" s="5">
        <v>116</v>
      </c>
      <c r="H33" s="5">
        <v>1</v>
      </c>
      <c r="I33" s="5" t="s">
        <v>51</v>
      </c>
    </row>
    <row r="34" spans="1:9" x14ac:dyDescent="0.2">
      <c r="A34" s="3" t="s">
        <v>96</v>
      </c>
      <c r="B34" s="4">
        <v>1489.15</v>
      </c>
      <c r="C34" s="3" t="s">
        <v>97</v>
      </c>
      <c r="D34" s="3" t="s">
        <v>18</v>
      </c>
      <c r="E34" s="3" t="s">
        <v>19</v>
      </c>
      <c r="F34" s="3">
        <v>17.5</v>
      </c>
      <c r="G34" s="3">
        <v>36</v>
      </c>
      <c r="H34" s="3">
        <v>1</v>
      </c>
      <c r="I34" s="3" t="s">
        <v>75</v>
      </c>
    </row>
    <row r="35" spans="1:9" x14ac:dyDescent="0.2">
      <c r="A35" s="5" t="s">
        <v>98</v>
      </c>
      <c r="B35" s="6">
        <v>15605.5</v>
      </c>
      <c r="C35" s="5" t="s">
        <v>99</v>
      </c>
      <c r="D35" s="5" t="s">
        <v>18</v>
      </c>
      <c r="E35" s="5" t="s">
        <v>11</v>
      </c>
      <c r="F35" s="5">
        <v>21.7</v>
      </c>
      <c r="G35" s="5">
        <v>99</v>
      </c>
      <c r="H35" s="5">
        <v>3</v>
      </c>
      <c r="I35" s="5" t="s">
        <v>22</v>
      </c>
    </row>
    <row r="36" spans="1:9" x14ac:dyDescent="0.2">
      <c r="A36" s="3" t="s">
        <v>100</v>
      </c>
      <c r="B36" s="4">
        <v>13430.51</v>
      </c>
      <c r="C36" s="3" t="s">
        <v>101</v>
      </c>
      <c r="D36" s="3" t="s">
        <v>47</v>
      </c>
      <c r="E36" s="3" t="s">
        <v>11</v>
      </c>
      <c r="F36" s="3">
        <v>12</v>
      </c>
      <c r="G36" s="3">
        <v>47</v>
      </c>
      <c r="H36" s="3">
        <v>3</v>
      </c>
      <c r="I36" s="3" t="s">
        <v>75</v>
      </c>
    </row>
    <row r="37" spans="1:9" x14ac:dyDescent="0.2">
      <c r="A37" s="5" t="s">
        <v>102</v>
      </c>
      <c r="B37" s="6">
        <v>67461.5</v>
      </c>
      <c r="C37" s="5" t="s">
        <v>103</v>
      </c>
      <c r="D37" s="5" t="s">
        <v>67</v>
      </c>
      <c r="E37" s="5" t="s">
        <v>19</v>
      </c>
      <c r="F37" s="5">
        <v>29.1</v>
      </c>
      <c r="G37" s="5">
        <v>81</v>
      </c>
      <c r="H37" s="5">
        <v>4</v>
      </c>
      <c r="I37" s="5"/>
    </row>
    <row r="38" spans="1:9" x14ac:dyDescent="0.2">
      <c r="A38" s="3" t="s">
        <v>104</v>
      </c>
      <c r="B38" s="4">
        <v>1801.48</v>
      </c>
      <c r="C38" s="3" t="s">
        <v>105</v>
      </c>
      <c r="D38" s="3" t="s">
        <v>10</v>
      </c>
      <c r="E38" s="3" t="s">
        <v>35</v>
      </c>
      <c r="F38" s="3">
        <v>36.200000000000003</v>
      </c>
      <c r="G38" s="3">
        <v>20</v>
      </c>
      <c r="H38" s="3">
        <v>1</v>
      </c>
      <c r="I38" s="3" t="s">
        <v>75</v>
      </c>
    </row>
    <row r="39" spans="1:9" x14ac:dyDescent="0.2">
      <c r="A39" s="5" t="s">
        <v>106</v>
      </c>
      <c r="B39" s="6">
        <v>8570.32</v>
      </c>
      <c r="C39" s="5" t="s">
        <v>107</v>
      </c>
      <c r="D39" s="5" t="s">
        <v>10</v>
      </c>
      <c r="E39" s="5" t="s">
        <v>25</v>
      </c>
      <c r="F39" s="5">
        <v>14.1</v>
      </c>
      <c r="G39" s="5">
        <v>84</v>
      </c>
      <c r="H39" s="5">
        <v>3</v>
      </c>
      <c r="I39" s="5" t="s">
        <v>39</v>
      </c>
    </row>
    <row r="40" spans="1:9" x14ac:dyDescent="0.2">
      <c r="A40" s="3" t="s">
        <v>108</v>
      </c>
      <c r="B40" s="4">
        <v>10282.469999999999</v>
      </c>
      <c r="C40" s="3" t="s">
        <v>109</v>
      </c>
      <c r="D40" s="3" t="s">
        <v>31</v>
      </c>
      <c r="E40" s="3" t="s">
        <v>11</v>
      </c>
      <c r="F40" s="3">
        <v>9.3000000000000007</v>
      </c>
      <c r="G40" s="3">
        <v>45</v>
      </c>
      <c r="H40" s="3">
        <v>3</v>
      </c>
      <c r="I40" s="3" t="s">
        <v>58</v>
      </c>
    </row>
    <row r="41" spans="1:9" x14ac:dyDescent="0.2">
      <c r="A41" s="5" t="s">
        <v>110</v>
      </c>
      <c r="B41" s="6">
        <v>1789.59</v>
      </c>
      <c r="C41" s="5" t="s">
        <v>111</v>
      </c>
      <c r="D41" s="5" t="s">
        <v>47</v>
      </c>
      <c r="E41" s="5" t="s">
        <v>14</v>
      </c>
      <c r="F41" s="5">
        <v>24.8</v>
      </c>
      <c r="G41" s="5">
        <v>17</v>
      </c>
      <c r="H41" s="5">
        <v>1</v>
      </c>
      <c r="I41" s="5" t="s">
        <v>15</v>
      </c>
    </row>
    <row r="42" spans="1:9" x14ac:dyDescent="0.2">
      <c r="A42" s="3" t="s">
        <v>112</v>
      </c>
      <c r="B42" s="4">
        <v>856.37</v>
      </c>
      <c r="C42" s="3" t="s">
        <v>113</v>
      </c>
      <c r="D42" s="3" t="s">
        <v>47</v>
      </c>
      <c r="E42" s="3" t="s">
        <v>19</v>
      </c>
      <c r="F42" s="3">
        <v>12.4</v>
      </c>
      <c r="G42" s="3">
        <v>19</v>
      </c>
      <c r="H42" s="3">
        <v>1</v>
      </c>
      <c r="I42" s="3"/>
    </row>
    <row r="43" spans="1:9" x14ac:dyDescent="0.2">
      <c r="A43" s="5" t="s">
        <v>114</v>
      </c>
      <c r="B43" s="6">
        <v>13493.75</v>
      </c>
      <c r="C43" s="5" t="s">
        <v>115</v>
      </c>
      <c r="D43" s="5" t="s">
        <v>10</v>
      </c>
      <c r="E43" s="5" t="s">
        <v>74</v>
      </c>
      <c r="F43" s="5">
        <v>28</v>
      </c>
      <c r="G43" s="5">
        <v>48</v>
      </c>
      <c r="H43" s="5">
        <v>3</v>
      </c>
      <c r="I43" s="5" t="s">
        <v>51</v>
      </c>
    </row>
    <row r="44" spans="1:9" x14ac:dyDescent="0.2">
      <c r="A44" s="3" t="s">
        <v>116</v>
      </c>
      <c r="B44" s="4">
        <v>942.13</v>
      </c>
      <c r="C44" s="3" t="s">
        <v>117</v>
      </c>
      <c r="D44" s="3" t="s">
        <v>10</v>
      </c>
      <c r="E44" s="3" t="s">
        <v>50</v>
      </c>
      <c r="F44" s="3">
        <v>37.299999999999997</v>
      </c>
      <c r="G44" s="3">
        <v>106</v>
      </c>
      <c r="H44" s="3">
        <v>1</v>
      </c>
      <c r="I44" s="3" t="s">
        <v>58</v>
      </c>
    </row>
    <row r="45" spans="1:9" x14ac:dyDescent="0.2">
      <c r="A45" s="5" t="s">
        <v>118</v>
      </c>
      <c r="B45" s="6">
        <v>5226.17</v>
      </c>
      <c r="C45" s="5" t="s">
        <v>119</v>
      </c>
      <c r="D45" s="5" t="s">
        <v>67</v>
      </c>
      <c r="E45" s="5" t="s">
        <v>14</v>
      </c>
      <c r="F45" s="5">
        <v>32.1</v>
      </c>
      <c r="G45" s="5">
        <v>113</v>
      </c>
      <c r="H45" s="5">
        <v>2</v>
      </c>
      <c r="I45" s="5"/>
    </row>
    <row r="46" spans="1:9" x14ac:dyDescent="0.2">
      <c r="A46" s="3" t="s">
        <v>120</v>
      </c>
      <c r="B46" s="4">
        <v>1853.21</v>
      </c>
      <c r="C46" s="3" t="s">
        <v>121</v>
      </c>
      <c r="D46" s="3" t="s">
        <v>31</v>
      </c>
      <c r="E46" s="3" t="s">
        <v>64</v>
      </c>
      <c r="F46" s="3">
        <v>33.799999999999997</v>
      </c>
      <c r="G46" s="3">
        <v>31</v>
      </c>
      <c r="H46" s="3">
        <v>2</v>
      </c>
      <c r="I46" s="3" t="s">
        <v>75</v>
      </c>
    </row>
    <row r="47" spans="1:9" x14ac:dyDescent="0.2">
      <c r="A47" s="5" t="s">
        <v>122</v>
      </c>
      <c r="B47" s="6">
        <v>1755.84</v>
      </c>
      <c r="C47" s="5" t="s">
        <v>123</v>
      </c>
      <c r="D47" s="5" t="s">
        <v>10</v>
      </c>
      <c r="E47" s="5" t="s">
        <v>64</v>
      </c>
      <c r="F47" s="5">
        <v>27.8</v>
      </c>
      <c r="G47" s="5">
        <v>54</v>
      </c>
      <c r="H47" s="5">
        <v>2</v>
      </c>
      <c r="I47" s="5" t="s">
        <v>61</v>
      </c>
    </row>
    <row r="48" spans="1:9" x14ac:dyDescent="0.2">
      <c r="A48" s="3" t="s">
        <v>124</v>
      </c>
      <c r="B48" s="4">
        <v>1946.72</v>
      </c>
      <c r="C48" s="3" t="s">
        <v>125</v>
      </c>
      <c r="D48" s="3" t="s">
        <v>31</v>
      </c>
      <c r="E48" s="3" t="s">
        <v>19</v>
      </c>
      <c r="F48" s="3">
        <v>17.899999999999999</v>
      </c>
      <c r="G48" s="3">
        <v>6</v>
      </c>
      <c r="H48" s="3">
        <v>1</v>
      </c>
      <c r="I48" s="3" t="s">
        <v>51</v>
      </c>
    </row>
    <row r="49" spans="1:9" x14ac:dyDescent="0.2">
      <c r="A49" s="5" t="s">
        <v>126</v>
      </c>
      <c r="B49" s="6">
        <v>1291.18</v>
      </c>
      <c r="C49" s="5" t="s">
        <v>127</v>
      </c>
      <c r="D49" s="5" t="s">
        <v>10</v>
      </c>
      <c r="E49" s="5" t="s">
        <v>14</v>
      </c>
      <c r="F49" s="5">
        <v>18.399999999999999</v>
      </c>
      <c r="G49" s="5">
        <v>103</v>
      </c>
      <c r="H49" s="5">
        <v>1</v>
      </c>
      <c r="I49" s="5" t="s">
        <v>26</v>
      </c>
    </row>
    <row r="50" spans="1:9" x14ac:dyDescent="0.2">
      <c r="A50" s="3" t="s">
        <v>128</v>
      </c>
      <c r="B50" s="4">
        <v>1651.72</v>
      </c>
      <c r="C50" s="3" t="s">
        <v>79</v>
      </c>
      <c r="D50" s="3" t="s">
        <v>10</v>
      </c>
      <c r="E50" s="3" t="s">
        <v>64</v>
      </c>
      <c r="F50" s="3">
        <v>29.3</v>
      </c>
      <c r="G50" s="3">
        <v>3</v>
      </c>
      <c r="H50" s="3">
        <v>1</v>
      </c>
      <c r="I50" s="3" t="s">
        <v>61</v>
      </c>
    </row>
    <row r="51" spans="1:9" x14ac:dyDescent="0.2">
      <c r="A51" s="5" t="s">
        <v>129</v>
      </c>
      <c r="B51" s="6">
        <v>11356.81</v>
      </c>
      <c r="C51" s="5" t="s">
        <v>130</v>
      </c>
      <c r="D51" s="5" t="s">
        <v>18</v>
      </c>
      <c r="E51" s="5" t="s">
        <v>25</v>
      </c>
      <c r="F51" s="5">
        <v>26.7</v>
      </c>
      <c r="G51" s="5">
        <v>87</v>
      </c>
      <c r="H51" s="5">
        <v>3</v>
      </c>
      <c r="I51" s="5" t="s">
        <v>15</v>
      </c>
    </row>
    <row r="52" spans="1:9" x14ac:dyDescent="0.2">
      <c r="A52" s="3" t="s">
        <v>131</v>
      </c>
      <c r="B52" s="4">
        <v>545.30999999999995</v>
      </c>
      <c r="C52" s="3" t="s">
        <v>132</v>
      </c>
      <c r="D52" s="3" t="s">
        <v>31</v>
      </c>
      <c r="E52" s="3" t="s">
        <v>25</v>
      </c>
      <c r="F52" s="3">
        <v>20.100000000000001</v>
      </c>
      <c r="G52" s="3">
        <v>40</v>
      </c>
      <c r="H52" s="3">
        <v>1</v>
      </c>
      <c r="I52" s="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zoomScaleNormal="100" workbookViewId="0"/>
  </sheetViews>
  <sheetFormatPr baseColWidth="10" defaultColWidth="8.83203125" defaultRowHeight="15" x14ac:dyDescent="0.2"/>
  <cols>
    <col min="1" max="1" width="30" customWidth="1"/>
    <col min="2" max="2" width="22" customWidth="1"/>
  </cols>
  <sheetData>
    <row r="1" spans="1:3" ht="18" customHeight="1" x14ac:dyDescent="0.2">
      <c r="A1" s="1" t="s">
        <v>133</v>
      </c>
      <c r="B1" s="1"/>
      <c r="C1" s="1"/>
    </row>
    <row r="2" spans="1:3" x14ac:dyDescent="0.2">
      <c r="A2" s="7" t="s">
        <v>134</v>
      </c>
      <c r="B2" s="7" t="s">
        <v>135</v>
      </c>
    </row>
    <row r="3" spans="1:3" x14ac:dyDescent="0.2">
      <c r="A3" s="8" t="s">
        <v>136</v>
      </c>
      <c r="B3" s="9">
        <f>COUNTA(Accident_Data!A2:A1000)</f>
        <v>51</v>
      </c>
    </row>
    <row r="4" spans="1:3" x14ac:dyDescent="0.2">
      <c r="A4" s="8" t="s">
        <v>137</v>
      </c>
      <c r="B4" s="9">
        <f>SUM(Accident_Data!B2:B1000)</f>
        <v>461749.76999999996</v>
      </c>
    </row>
    <row r="5" spans="1:3" x14ac:dyDescent="0.2">
      <c r="A5" s="8" t="s">
        <v>138</v>
      </c>
      <c r="B5" s="9">
        <f>IFERROR(AVERAGE(Accident_Data!B2:B1000),"-")</f>
        <v>9053.9170588235284</v>
      </c>
    </row>
    <row r="6" spans="1:3" x14ac:dyDescent="0.2">
      <c r="A6" s="8" t="s">
        <v>139</v>
      </c>
      <c r="B6" s="9">
        <f>IFERROR(MAX(Accident_Data!B2:B1000),"-")</f>
        <v>71963.899999999994</v>
      </c>
    </row>
    <row r="7" spans="1:3" x14ac:dyDescent="0.2">
      <c r="A7" s="8" t="s">
        <v>140</v>
      </c>
      <c r="B7" s="9">
        <f>IFERROR(MIN(Accident_Data!B2:B1000),"-")</f>
        <v>235.06</v>
      </c>
    </row>
    <row r="8" spans="1:3" x14ac:dyDescent="0.2">
      <c r="A8" s="8" t="s">
        <v>141</v>
      </c>
      <c r="B8" s="9">
        <f>IFERROR(PERCENTILE(Accident_Data!B2:B1000,0.95),"-")</f>
        <v>59293.22</v>
      </c>
    </row>
    <row r="9" spans="1:3" x14ac:dyDescent="0.2">
      <c r="A9" s="8" t="s">
        <v>142</v>
      </c>
      <c r="B9" s="9">
        <f>IFERROR(AVERAGE(Accident_Data!F2:F1000),"-")</f>
        <v>21.925490196078432</v>
      </c>
    </row>
    <row r="10" spans="1:3" x14ac:dyDescent="0.2">
      <c r="A10" s="8" t="s">
        <v>143</v>
      </c>
      <c r="B10" s="9">
        <f>IFERROR(AVERAGE(Accident_Data!G2:G1000),"-")</f>
        <v>56.882352941176471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zoomScaleNormal="100" workbookViewId="0"/>
  </sheetViews>
  <sheetFormatPr baseColWidth="10" defaultColWidth="8.83203125" defaultRowHeight="15" x14ac:dyDescent="0.2"/>
  <cols>
    <col min="1" max="1" width="25" customWidth="1"/>
    <col min="3" max="3" width="20" customWidth="1"/>
  </cols>
  <sheetData>
    <row r="1" spans="1:3" ht="15.75" customHeight="1" x14ac:dyDescent="0.2">
      <c r="A1" s="10" t="s">
        <v>144</v>
      </c>
      <c r="C1" s="11" t="s">
        <v>145</v>
      </c>
    </row>
    <row r="2" spans="1:3" x14ac:dyDescent="0.2">
      <c r="A2" s="12" t="s">
        <v>10</v>
      </c>
      <c r="C2" s="12" t="s">
        <v>146</v>
      </c>
    </row>
    <row r="3" spans="1:3" x14ac:dyDescent="0.2">
      <c r="A3" s="13" t="s">
        <v>31</v>
      </c>
      <c r="C3" s="13" t="s">
        <v>147</v>
      </c>
    </row>
    <row r="4" spans="1:3" x14ac:dyDescent="0.2">
      <c r="A4" s="12" t="s">
        <v>47</v>
      </c>
      <c r="C4" s="12" t="s">
        <v>148</v>
      </c>
    </row>
    <row r="5" spans="1:3" x14ac:dyDescent="0.2">
      <c r="A5" s="13" t="s">
        <v>18</v>
      </c>
      <c r="C5" s="13" t="s">
        <v>149</v>
      </c>
    </row>
    <row r="6" spans="1:3" x14ac:dyDescent="0.2">
      <c r="A6" s="12" t="s">
        <v>67</v>
      </c>
      <c r="C6" s="12" t="s">
        <v>150</v>
      </c>
    </row>
    <row r="7" spans="1:3" x14ac:dyDescent="0.2">
      <c r="A7" s="13" t="s">
        <v>151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Accident_Data</vt:lpstr>
      <vt:lpstr>Summary</vt:lpstr>
      <vt:lpstr>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Thomas Ponce Arismendi</cp:lastModifiedBy>
  <cp:revision>0</cp:revision>
  <dcterms:created xsi:type="dcterms:W3CDTF">2026-04-26T03:02:49Z</dcterms:created>
  <dcterms:modified xsi:type="dcterms:W3CDTF">2026-09-16T21:48:28Z</dcterms:modified>
  <dc:language>en-US</dc:language>
</cp:coreProperties>
</file>